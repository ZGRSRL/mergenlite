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akancamadan/Library/Mobile Documents/com~apple~CloudDocs/CREATA copy/CREATA PROPOALS/CURRENT/AQD APR 15-19 140D0424Q0292/"/>
    </mc:Choice>
  </mc:AlternateContent>
  <xr:revisionPtr revIDLastSave="0" documentId="13_ncr:1_{F1D5FAAC-845F-BC49-82A2-3E2ABA52FA61}" xr6:coauthVersionLast="47" xr6:coauthVersionMax="47" xr10:uidLastSave="{00000000-0000-0000-0000-000000000000}"/>
  <bookViews>
    <workbookView xWindow="480" yWindow="2600" windowWidth="28120" windowHeight="15840" xr2:uid="{C5A98D8B-A8F1-4EB5-B952-8B785613C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5" i="1" l="1"/>
  <c r="H4" i="1" s="1"/>
  <c r="H3" i="1"/>
  <c r="E8" i="1"/>
  <c r="H2" i="1" s="1"/>
  <c r="H5" i="1" l="1"/>
</calcChain>
</file>

<file path=xl/sharedStrings.xml><?xml version="1.0" encoding="utf-8"?>
<sst xmlns="http://schemas.openxmlformats.org/spreadsheetml/2006/main" count="37" uniqueCount="26">
  <si>
    <t>Monday</t>
  </si>
  <si>
    <t>Tuesday</t>
  </si>
  <si>
    <t>Wednesday</t>
  </si>
  <si>
    <t>Thursday</t>
  </si>
  <si>
    <t>Conference Room</t>
  </si>
  <si>
    <t>Boardroom, 12 People</t>
  </si>
  <si>
    <t>Total - Conference Room Space</t>
  </si>
  <si>
    <t>Audio Visual</t>
  </si>
  <si>
    <t>General Session Room, 2 Large Screen, 1 Projector</t>
  </si>
  <si>
    <t>Breakout Room, 1 Large Screen and 1 Projector</t>
  </si>
  <si>
    <r>
      <rPr>
        <b/>
        <sz val="11"/>
        <color theme="1"/>
        <rFont val="Calibri"/>
        <family val="2"/>
        <scheme val="minor"/>
      </rPr>
      <t>OPTION</t>
    </r>
    <r>
      <rPr>
        <sz val="11"/>
        <color theme="1"/>
        <rFont val="Calibri"/>
        <family val="2"/>
        <scheme val="minor"/>
      </rPr>
      <t xml:space="preserve"> - General Session Room - Mic</t>
    </r>
  </si>
  <si>
    <t>Items identified as options shall be quoted; however, depending on pricing the Government may elect not to exercise the option and not have the item for the seminar.</t>
  </si>
  <si>
    <t>General Session Room, 100 people, including podium</t>
  </si>
  <si>
    <t>Breakout Room, 15 people, including podium</t>
  </si>
  <si>
    <t>Breakout Room, 30 people, including podium</t>
  </si>
  <si>
    <t>AV support - set up and take down</t>
  </si>
  <si>
    <r>
      <rPr>
        <b/>
        <sz val="11"/>
        <color theme="1"/>
        <rFont val="Calibri"/>
        <family val="2"/>
        <scheme val="minor"/>
      </rPr>
      <t xml:space="preserve">OPTION </t>
    </r>
    <r>
      <rPr>
        <sz val="11"/>
        <color theme="1"/>
        <rFont val="Calibri"/>
        <family val="2"/>
        <scheme val="minor"/>
      </rPr>
      <t>- AV support - onsite support throughout the event to troubleshoot equipment and problems that might</t>
    </r>
  </si>
  <si>
    <t>Incidentals</t>
  </si>
  <si>
    <t>Incidentals required in Statement of Requirements (i.e. registration table, easels, butcher block paper, markers, signage, etc.)</t>
  </si>
  <si>
    <t>Boardroom, 1 screen/tv and 1 projector</t>
  </si>
  <si>
    <t>Total - Audio Visual</t>
  </si>
  <si>
    <t>Total - Incidentals</t>
  </si>
  <si>
    <t>Total Conference Room</t>
  </si>
  <si>
    <t>Total Audio Visual</t>
  </si>
  <si>
    <t>Total Incidentals</t>
  </si>
  <si>
    <t>Total Quoted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</si>
</sst>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7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4" fontId="0" fillId="0" borderId="1" xfId="0" applyNumberFormat="1" applyBorder="1"/>
    <xf numFmtId="0" fontId="0" fillId="0" borderId="2" xfId="0" applyBorder="1"/>
    <xf numFmtId="7" fontId="0" fillId="0" borderId="5" xfId="0" applyNumberFormat="1" applyBorder="1"/>
    <xf numFmtId="7" fontId="0" fillId="0" borderId="1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7" fontId="0" fillId="0" borderId="14" xfId="0" applyNumberFormat="1" applyBorder="1"/>
    <xf numFmtId="0" fontId="1" fillId="0" borderId="0" xfId="0" applyFont="1"/>
    <xf numFmtId="0" fontId="0" fillId="0" borderId="11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7461-2FA2-4367-9708-98538DB0AD06}">
  <dimension ref="A1:H27"/>
  <sheetViews>
    <sheetView tabSelected="1" zoomScale="150" workbookViewId="0">
      <selection activeCell="E17" sqref="E17"/>
    </sheetView>
  </sheetViews>
  <sheetFormatPr baseColWidth="10" defaultColWidth="8.83203125" defaultRowHeight="15" x14ac:dyDescent="0.2"/>
  <cols>
    <col min="1" max="1" width="96.83203125" customWidth="1"/>
    <col min="2" max="3" width="9.6640625" bestFit="1" customWidth="1"/>
    <col min="4" max="4" width="11.5" bestFit="1" customWidth="1"/>
    <col min="5" max="5" width="10.6640625" bestFit="1" customWidth="1"/>
    <col min="7" max="7" width="22.1640625" bestFit="1" customWidth="1"/>
    <col min="8" max="8" width="10.6640625" bestFit="1" customWidth="1"/>
  </cols>
  <sheetData>
    <row r="1" spans="1:8" ht="16" thickBot="1" x14ac:dyDescent="0.25">
      <c r="B1" s="17" t="s">
        <v>4</v>
      </c>
      <c r="C1" s="18"/>
      <c r="D1" s="18"/>
      <c r="E1" s="19"/>
      <c r="G1" s="15" t="s">
        <v>25</v>
      </c>
      <c r="H1" s="16"/>
    </row>
    <row r="2" spans="1:8" ht="16" thickBot="1" x14ac:dyDescent="0.25">
      <c r="B2" s="9" t="s">
        <v>0</v>
      </c>
      <c r="C2" s="10" t="s">
        <v>1</v>
      </c>
      <c r="D2" s="10" t="s">
        <v>2</v>
      </c>
      <c r="E2" s="11" t="s">
        <v>3</v>
      </c>
      <c r="G2" s="14" t="s">
        <v>22</v>
      </c>
      <c r="H2" s="8">
        <f>+E8</f>
        <v>20050</v>
      </c>
    </row>
    <row r="3" spans="1:8" x14ac:dyDescent="0.2">
      <c r="A3" s="1" t="s">
        <v>12</v>
      </c>
      <c r="B3" s="8">
        <v>2400</v>
      </c>
      <c r="C3" s="8">
        <v>2400</v>
      </c>
      <c r="D3" s="8">
        <v>2400</v>
      </c>
      <c r="E3" s="8">
        <v>2400</v>
      </c>
      <c r="G3" s="1" t="s">
        <v>23</v>
      </c>
      <c r="H3" s="2">
        <f>+E20</f>
        <v>8400</v>
      </c>
    </row>
    <row r="4" spans="1:8" x14ac:dyDescent="0.2">
      <c r="A4" s="1" t="s">
        <v>13</v>
      </c>
      <c r="B4" s="3">
        <v>700</v>
      </c>
      <c r="C4" s="3">
        <v>700</v>
      </c>
      <c r="D4" s="3">
        <v>700</v>
      </c>
      <c r="E4" s="4"/>
      <c r="G4" s="1" t="s">
        <v>24</v>
      </c>
      <c r="H4" s="2">
        <f>+E25</f>
        <v>880</v>
      </c>
    </row>
    <row r="5" spans="1:8" x14ac:dyDescent="0.2">
      <c r="A5" s="1" t="s">
        <v>13</v>
      </c>
      <c r="B5" s="3">
        <v>700</v>
      </c>
      <c r="C5" s="3">
        <v>700</v>
      </c>
      <c r="D5" s="3">
        <v>700</v>
      </c>
      <c r="E5" s="4"/>
      <c r="H5" s="2">
        <f>+H2+H3+H4</f>
        <v>29330</v>
      </c>
    </row>
    <row r="6" spans="1:8" x14ac:dyDescent="0.2">
      <c r="A6" s="1" t="s">
        <v>14</v>
      </c>
      <c r="B6" s="3">
        <v>1150</v>
      </c>
      <c r="C6" s="3">
        <v>1150</v>
      </c>
      <c r="D6" s="3">
        <v>1150</v>
      </c>
      <c r="E6" s="4"/>
    </row>
    <row r="7" spans="1:8" ht="16" thickBot="1" x14ac:dyDescent="0.25">
      <c r="A7" s="6" t="s">
        <v>5</v>
      </c>
      <c r="B7" s="3">
        <v>700</v>
      </c>
      <c r="C7" s="3">
        <v>700</v>
      </c>
      <c r="D7" s="3">
        <v>700</v>
      </c>
      <c r="E7" s="3">
        <v>700</v>
      </c>
    </row>
    <row r="8" spans="1:8" ht="16" thickBot="1" x14ac:dyDescent="0.25">
      <c r="A8" s="20" t="s">
        <v>6</v>
      </c>
      <c r="B8" s="21"/>
      <c r="C8" s="21"/>
      <c r="D8" s="21"/>
      <c r="E8" s="7">
        <f>+E3+D3+C3+B3+B4+C4+D4+B5+C5+D5+B6+C6+D6+B7+C7+D7+E7</f>
        <v>20050</v>
      </c>
    </row>
    <row r="9" spans="1:8" ht="16" thickBot="1" x14ac:dyDescent="0.25"/>
    <row r="10" spans="1:8" ht="16" thickBot="1" x14ac:dyDescent="0.25">
      <c r="B10" s="17" t="s">
        <v>7</v>
      </c>
      <c r="C10" s="18"/>
      <c r="D10" s="18"/>
      <c r="E10" s="19"/>
    </row>
    <row r="11" spans="1:8" ht="16" thickBot="1" x14ac:dyDescent="0.25">
      <c r="B11" s="9" t="s">
        <v>0</v>
      </c>
      <c r="C11" s="10" t="s">
        <v>1</v>
      </c>
      <c r="D11" s="10" t="s">
        <v>2</v>
      </c>
      <c r="E11" s="11" t="s">
        <v>3</v>
      </c>
    </row>
    <row r="12" spans="1:8" x14ac:dyDescent="0.2">
      <c r="A12" s="1" t="s">
        <v>8</v>
      </c>
      <c r="B12" s="8">
        <v>800</v>
      </c>
      <c r="C12" s="8">
        <v>800</v>
      </c>
      <c r="D12" s="8">
        <v>800</v>
      </c>
      <c r="E12" s="8">
        <v>800</v>
      </c>
    </row>
    <row r="13" spans="1:8" x14ac:dyDescent="0.2">
      <c r="A13" s="1" t="s">
        <v>10</v>
      </c>
      <c r="B13" s="8">
        <v>300</v>
      </c>
      <c r="C13" s="8">
        <v>300</v>
      </c>
      <c r="D13" s="8">
        <v>300</v>
      </c>
      <c r="E13" s="8">
        <v>300</v>
      </c>
    </row>
    <row r="14" spans="1:8" x14ac:dyDescent="0.2">
      <c r="A14" s="1" t="s">
        <v>9</v>
      </c>
      <c r="B14" s="5">
        <v>400</v>
      </c>
      <c r="C14" s="5">
        <v>400</v>
      </c>
      <c r="D14" s="5">
        <v>400</v>
      </c>
      <c r="E14" s="4"/>
    </row>
    <row r="15" spans="1:8" x14ac:dyDescent="0.2">
      <c r="A15" s="1" t="s">
        <v>9</v>
      </c>
      <c r="B15" s="5">
        <v>400</v>
      </c>
      <c r="C15" s="5">
        <v>400</v>
      </c>
      <c r="D15" s="5">
        <v>400</v>
      </c>
      <c r="E15" s="4"/>
    </row>
    <row r="16" spans="1:8" x14ac:dyDescent="0.2">
      <c r="A16" s="1" t="s">
        <v>9</v>
      </c>
      <c r="B16" s="5">
        <v>400</v>
      </c>
      <c r="C16" s="5">
        <v>400</v>
      </c>
      <c r="D16" s="5">
        <v>400</v>
      </c>
      <c r="E16" s="4"/>
    </row>
    <row r="17" spans="1:5" x14ac:dyDescent="0.2">
      <c r="A17" s="1" t="s">
        <v>19</v>
      </c>
      <c r="B17" s="5">
        <v>400</v>
      </c>
      <c r="C17" s="5">
        <v>400</v>
      </c>
      <c r="D17" s="5">
        <v>400</v>
      </c>
      <c r="E17" s="5">
        <v>400</v>
      </c>
    </row>
    <row r="18" spans="1:5" x14ac:dyDescent="0.2">
      <c r="A18" s="1" t="s">
        <v>15</v>
      </c>
      <c r="B18" s="3">
        <v>330</v>
      </c>
      <c r="C18" s="3">
        <v>0</v>
      </c>
      <c r="D18" s="3">
        <v>0</v>
      </c>
      <c r="E18" s="3">
        <v>330</v>
      </c>
    </row>
    <row r="19" spans="1:5" x14ac:dyDescent="0.2">
      <c r="A19" s="1" t="s">
        <v>16</v>
      </c>
      <c r="B19" s="3">
        <v>800</v>
      </c>
      <c r="C19" s="3">
        <v>800</v>
      </c>
      <c r="D19" s="3">
        <v>800</v>
      </c>
      <c r="E19" s="3">
        <v>800</v>
      </c>
    </row>
    <row r="20" spans="1:5" ht="16" thickBot="1" x14ac:dyDescent="0.25">
      <c r="A20" s="22" t="s">
        <v>20</v>
      </c>
      <c r="B20" s="23"/>
      <c r="C20" s="23"/>
      <c r="D20" s="23"/>
      <c r="E20" s="12">
        <f>+E12+D12+C12+B12+B14+C14+D14+B15+C15+D15+B16+C16+D16+B17+C17+D17+E17</f>
        <v>8400</v>
      </c>
    </row>
    <row r="21" spans="1:5" ht="16" thickBot="1" x14ac:dyDescent="0.25"/>
    <row r="22" spans="1:5" ht="16" thickBot="1" x14ac:dyDescent="0.25">
      <c r="B22" s="17" t="s">
        <v>17</v>
      </c>
      <c r="C22" s="18"/>
      <c r="D22" s="18"/>
      <c r="E22" s="19"/>
    </row>
    <row r="23" spans="1:5" ht="16" thickBot="1" x14ac:dyDescent="0.25">
      <c r="B23" s="9" t="s">
        <v>0</v>
      </c>
      <c r="C23" s="10" t="s">
        <v>1</v>
      </c>
      <c r="D23" s="10" t="s">
        <v>2</v>
      </c>
      <c r="E23" s="11" t="s">
        <v>3</v>
      </c>
    </row>
    <row r="24" spans="1:5" ht="16" thickBot="1" x14ac:dyDescent="0.25">
      <c r="A24" s="1" t="s">
        <v>18</v>
      </c>
      <c r="B24" s="8">
        <v>220</v>
      </c>
      <c r="C24" s="8">
        <v>220</v>
      </c>
      <c r="D24" s="8">
        <v>220</v>
      </c>
      <c r="E24" s="8">
        <v>220</v>
      </c>
    </row>
    <row r="25" spans="1:5" ht="16" thickBot="1" x14ac:dyDescent="0.25">
      <c r="A25" s="20" t="s">
        <v>21</v>
      </c>
      <c r="B25" s="21"/>
      <c r="C25" s="21"/>
      <c r="D25" s="21"/>
      <c r="E25" s="7">
        <f>+B24+C24+D24+E24</f>
        <v>880</v>
      </c>
    </row>
    <row r="27" spans="1:5" x14ac:dyDescent="0.2">
      <c r="A27" s="13" t="s">
        <v>11</v>
      </c>
    </row>
  </sheetData>
  <mergeCells count="7">
    <mergeCell ref="B22:E22"/>
    <mergeCell ref="A25:D25"/>
    <mergeCell ref="G1:H1"/>
    <mergeCell ref="B1:E1"/>
    <mergeCell ref="A8:D8"/>
    <mergeCell ref="B10:E10"/>
    <mergeCell ref="A20:D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Mccullough, Stephanie C</dc:creator>
  <cp:lastModifiedBy>Ata Cam</cp:lastModifiedBy>
  <dcterms:created xsi:type="dcterms:W3CDTF">2024-02-16T03:34:57Z</dcterms:created>
  <dcterms:modified xsi:type="dcterms:W3CDTF">2024-02-23T02:58:26Z</dcterms:modified>
</cp:coreProperties>
</file>